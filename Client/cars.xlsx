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8960" windowHeight="2650"/>
  </bookViews>
  <sheets>
    <sheet name="Cars" sheetId="1" r:id="rId1"/>
  </sheets>
  <definedNames>
    <definedName name="_xlnm.Print_Area" localSheetId="0">#REF!</definedName>
    <definedName name="_xlnm.Sheet_Title" localSheetId="0">"Cars"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<sst xmlns="http://schemas.openxmlformats.org/spreadsheetml/2006/main" uniqueCount="38" count="38">
  <si>
    <t>Mercedes-Benz</t>
  </si>
  <si>
    <t>Чёрный</t>
  </si>
  <si>
    <t>Автомобиль</t>
  </si>
  <si>
    <t>Серый</t>
  </si>
  <si>
    <t>Toyota</t>
  </si>
  <si>
    <t>Land Cruiser 200</t>
  </si>
  <si>
    <t>Toyota Land Cruiser 200</t>
  </si>
  <si>
    <t>Rolls-Royce</t>
  </si>
  <si>
    <t>Синий</t>
  </si>
  <si>
    <t>Jeep</t>
  </si>
  <si>
    <t>Wrangler</t>
  </si>
  <si>
    <t>Jeep Wrangler</t>
  </si>
  <si>
    <t>Белый</t>
  </si>
  <si>
    <t>Sprinter</t>
  </si>
  <si>
    <t>Mercedes-Benz Sprinter</t>
  </si>
  <si>
    <t>Прицеп</t>
  </si>
  <si>
    <t>Коричневый</t>
  </si>
  <si>
    <t>БН</t>
  </si>
  <si>
    <t>GT4</t>
  </si>
  <si>
    <t>Mercedes-Benz GT4</t>
  </si>
  <si>
    <t>Другое</t>
  </si>
  <si>
    <t>Porsche</t>
  </si>
  <si>
    <t>Volkswagen</t>
  </si>
  <si>
    <t>S600</t>
  </si>
  <si>
    <t>Mercedes-Benz S600</t>
  </si>
  <si>
    <t>Can-am</t>
  </si>
  <si>
    <t>Off-road</t>
  </si>
  <si>
    <t>BRP</t>
  </si>
  <si>
    <t>LYNX 69 Ranger LTD</t>
  </si>
  <si>
    <t>BRP LYNX 69 Ranger LTD</t>
  </si>
  <si>
    <t>Оранжевый</t>
  </si>
  <si>
    <t>LYNX 69 Ranger SnowCruiser</t>
  </si>
  <si>
    <t>BRP LYNX 69 Ranger SnowCruiser</t>
  </si>
  <si>
    <t>Барс 30202 Р</t>
  </si>
  <si>
    <t>Прицеп Барс 30202 Р</t>
  </si>
  <si>
    <t>LYNX 59 Ranger PRO</t>
  </si>
  <si>
    <t>BRP LYNX 59 Ranger PRO</t>
  </si>
  <si>
    <t>с188ут193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</si>
</sst>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49" xfId="0">
      <alignment horizontal="general" vertical="bottom" wrapText="0" shrinkToFit="0" textRotation="0" indent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0"/>
  </sheetPr>
  <dimension ref="A1:Z1048576"/>
  <sheetViews>
    <sheetView workbookViewId="0" tabSelected="1">
      <pane xSplit="1" ySplit="1" topLeftCell="B55" activePane="bottomRight" state="frozen"/>
      <selection pane="bottomRight" activeCell="B63" sqref="B63"/>
    </sheetView>
  </sheetViews>
  <sheetFormatPr defaultRowHeight="15.75"/>
  <cols>
    <col min="1" max="1" style="1" width="2.714123" bestFit="1" customWidth="1"/>
    <col min="2" max="2" style="1" width="9.999399" bestFit="1" customWidth="1"/>
    <col min="3" max="3" style="1" width="15.57049" bestFit="1" customWidth="1"/>
    <col min="4" max="4" style="1" width="24.85565" bestFit="1" customWidth="1"/>
    <col min="5" max="5" style="1" width="29.7125" bestFit="1" customWidth="1"/>
    <col min="6" max="6" style="1" width="13.71346" customWidth="1"/>
    <col min="7" max="7" style="1" width="11.14219" bestFit="1" customWidth="1"/>
    <col min="8" max="8" style="1" width="10.99934" bestFit="1" customWidth="1"/>
    <col min="9" max="16384" style="1"/>
  </cols>
  <sheetData>
    <row r="1" spans="1:26" ht="24.75">
      <c r="A1" s="0" t="str">
        <v>ID</v>
      </c>
      <c r="B1" s="0" t="str">
        <v>Гос.номер</v>
      </c>
      <c r="C1" s="0" t="str">
        <v>Марка</v>
      </c>
      <c r="D1" s="0" t="str">
        <v>Модель</v>
      </c>
      <c r="E1" s="2" t="str">
        <v>Марка + модель</v>
      </c>
      <c r="F1" s="2" t="str">
        <v>VIN</v>
      </c>
      <c r="G1" s="2" t="str">
        <v>Цвет</v>
      </c>
      <c r="H1" s="2" t="str">
        <v>Тип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0">
        <v>1</v>
      </c>
      <c r="B2" s="0" t="str">
        <v>у165ок193</v>
      </c>
      <c r="C2" s="0" t="s">
        <v>0</v>
      </c>
      <c r="D2" s="0" t="str">
        <v>V220D</v>
      </c>
      <c r="E2" t="str">
        <f>CONCATENATE(C2&amp;" "&amp;D2)</f>
        <v>Mercedes-Benz V220D</v>
      </c>
      <c r="F2" s="2"/>
      <c r="G2" s="2" t="s">
        <v>1</v>
      </c>
      <c r="H2" s="2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0">
        <v>2</v>
      </c>
      <c r="B3" s="0" t="str">
        <v>е001ее93</v>
      </c>
      <c r="C3" s="0" t="s">
        <v>0</v>
      </c>
      <c r="D3" s="0" t="str">
        <v>G63</v>
      </c>
      <c r="E3" t="str">
        <f>CONCATENATE(C3&amp;" "&amp;D3)</f>
        <v>Mercedes-Benz G63</v>
      </c>
      <c r="F3" s="2"/>
      <c r="G3" s="2" t="s">
        <v>1</v>
      </c>
      <c r="H3" s="2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0">
        <v>3</v>
      </c>
      <c r="B4" s="0" t="str">
        <v>н222нн93</v>
      </c>
      <c r="C4" s="0" t="str">
        <v>Land Rover</v>
      </c>
      <c r="D4" s="0" t="str">
        <v>Range Rover</v>
      </c>
      <c r="E4" t="str">
        <f>CONCATENATE(C4&amp;" "&amp;D4)</f>
        <v>Land Rover Range Rover</v>
      </c>
      <c r="F4" s="2"/>
      <c r="G4" s="2" t="s">
        <v>3</v>
      </c>
      <c r="H4" s="2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0">
        <v>4</v>
      </c>
      <c r="B5" s="0" t="str">
        <v>о004та123</v>
      </c>
      <c r="C5" s="0" t="s">
        <v>4</v>
      </c>
      <c r="D5" s="0" t="s">
        <v>5</v>
      </c>
      <c r="E5" t="s">
        <f>CONCATENATE(C5&amp;" "&amp;D5)</f>
        <v>6</v>
      </c>
      <c r="F5" s="2"/>
      <c r="G5" s="2" t="s">
        <v>1</v>
      </c>
      <c r="H5" s="2" t="s">
        <v>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0">
        <v>5</v>
      </c>
      <c r="B6" s="0" t="str">
        <v>н428нт799</v>
      </c>
      <c r="C6" s="0" t="s">
        <v>7</v>
      </c>
      <c r="D6" s="0" t="str">
        <v>Phantom</v>
      </c>
      <c r="E6" t="str">
        <f>CONCATENATE(C6&amp;" "&amp;D6)</f>
        <v>Rolls-Royce Phantom</v>
      </c>
      <c r="F6" s="2"/>
      <c r="G6" s="2" t="s">
        <v>8</v>
      </c>
      <c r="H6" s="2" t="s">
        <v>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0">
        <v>6</v>
      </c>
      <c r="B7" s="0" t="str">
        <v>с315вт193</v>
      </c>
      <c r="C7" s="0" t="s">
        <v>9</v>
      </c>
      <c r="D7" s="0" t="s">
        <v>10</v>
      </c>
      <c r="E7" t="s">
        <f>CONCATENATE(C7&amp;" "&amp;D7)</f>
        <v>11</v>
      </c>
      <c r="F7" s="2"/>
      <c r="G7" s="2" t="s">
        <v>12</v>
      </c>
      <c r="H7" s="2" t="s">
        <v>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0">
        <v>7</v>
      </c>
      <c r="B8" s="0" t="str">
        <v>у774ру193</v>
      </c>
      <c r="C8" s="0" t="s">
        <v>0</v>
      </c>
      <c r="D8" s="0" t="str">
        <v>VIANO</v>
      </c>
      <c r="E8" t="str">
        <f>CONCATENATE(C8&amp;" "&amp;D8)</f>
        <v>Mercedes-Benz VIANO</v>
      </c>
      <c r="F8" s="2"/>
      <c r="G8" s="2" t="s">
        <v>1</v>
      </c>
      <c r="H8" s="2" t="s">
        <v>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0">
        <v>8</v>
      </c>
      <c r="B9" s="0" t="str">
        <v>а064мх01</v>
      </c>
      <c r="C9" s="0" t="s">
        <v>0</v>
      </c>
      <c r="D9" s="0" t="s">
        <v>13</v>
      </c>
      <c r="E9" t="s">
        <f>CONCATENATE(C9&amp;" "&amp;D9)</f>
        <v>14</v>
      </c>
      <c r="F9" s="2"/>
      <c r="G9" s="2" t="s">
        <v>12</v>
      </c>
      <c r="H9" s="2" t="s">
        <v>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0">
        <v>9</v>
      </c>
      <c r="B10" s="0" t="str">
        <v>сс874001</v>
      </c>
      <c r="C10" s="0" t="str">
        <v>Brian James</v>
      </c>
      <c r="D10" s="0" t="str">
        <v>Race sport</v>
      </c>
      <c r="E10" t="str">
        <f>CONCATENATE(C10&amp;" "&amp;D10)</f>
        <v>Brian James Race sport</v>
      </c>
      <c r="F10" s="2"/>
      <c r="G10" s="2" t="s">
        <v>12</v>
      </c>
      <c r="H10" s="2" t="s">
        <v>15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0">
        <v>10</v>
      </c>
      <c r="B11" s="0" t="str">
        <v>а498нт01</v>
      </c>
      <c r="C11" s="0" t="str">
        <v>Mitsubishi</v>
      </c>
      <c r="D11" s="0" t="str">
        <v>Lancer Evolution IX</v>
      </c>
      <c r="E11" t="str">
        <f>CONCATENATE(C11&amp;" "&amp;D11)</f>
        <v>Mitsubishi Lancer Evolution IX</v>
      </c>
      <c r="F11" s="2"/>
      <c r="G11" s="2" t="str">
        <v>Красный</v>
      </c>
      <c r="H11" s="2" t="s">
        <v>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0">
        <v>11</v>
      </c>
      <c r="B12" s="0" t="str">
        <v>м021мм23</v>
      </c>
      <c r="C12" s="0" t="s">
        <v>4</v>
      </c>
      <c r="D12" s="0" t="s">
        <v>5</v>
      </c>
      <c r="E12" t="s">
        <f>CONCATENATE(C12&amp;" "&amp;D12)</f>
        <v>6</v>
      </c>
      <c r="F12" s="2"/>
      <c r="G12" s="2" t="s">
        <v>1</v>
      </c>
      <c r="H12" s="2" t="s">
        <v>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0">
        <v>12</v>
      </c>
      <c r="B13" s="0" t="str">
        <v>у297еа323</v>
      </c>
      <c r="C13" s="0" t="s">
        <v>0</v>
      </c>
      <c r="D13" s="0" t="s">
        <v>13</v>
      </c>
      <c r="E13" t="s">
        <f>CONCATENATE(C13&amp;" "&amp;D13)</f>
        <v>14</v>
      </c>
      <c r="F13" s="2"/>
      <c r="G13" s="2" t="s">
        <v>1</v>
      </c>
      <c r="H13" s="2" t="s">
        <v>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0">
        <v>13</v>
      </c>
      <c r="B14" s="0" t="str">
        <v>у222уу93</v>
      </c>
      <c r="C14" s="0" t="s">
        <v>0</v>
      </c>
      <c r="D14" s="0" t="str">
        <v>GLS600</v>
      </c>
      <c r="E14" t="str">
        <f>CONCATENATE(C14&amp;" "&amp;D14)</f>
        <v>Mercedes-Benz GLS600</v>
      </c>
      <c r="F14" s="2"/>
      <c r="G14" s="2" t="s">
        <v>16</v>
      </c>
      <c r="H14" s="2" t="s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0">
        <v>14</v>
      </c>
      <c r="B15" s="0" t="str">
        <v>с222сс150</v>
      </c>
      <c r="C15" s="0" t="s">
        <v>0</v>
      </c>
      <c r="D15" s="0" t="str">
        <v>Maybach 62</v>
      </c>
      <c r="E15" t="str">
        <f>CONCATENATE(C15&amp;" "&amp;D15)</f>
        <v>Mercedes-Benz Maybach 62</v>
      </c>
      <c r="F15" s="2"/>
      <c r="G15" s="2" t="s">
        <v>8</v>
      </c>
      <c r="H15" s="2" t="s">
        <v>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0">
        <v>15</v>
      </c>
      <c r="B16" s="0" t="str">
        <v>в807рх147</v>
      </c>
      <c r="C16" s="0" t="s">
        <v>7</v>
      </c>
      <c r="D16" s="0" t="str">
        <v>Silver Spirit</v>
      </c>
      <c r="E16" t="str">
        <f>CONCATENATE(C16&amp;" "&amp;D16)</f>
        <v>Rolls-Royce Silver Spirit</v>
      </c>
      <c r="F16" s="2"/>
      <c r="G16" s="2" t="s">
        <v>1</v>
      </c>
      <c r="H16" s="2" t="s"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0">
        <v>16</v>
      </c>
      <c r="B17" s="0" t="str">
        <v>о944св193</v>
      </c>
      <c r="C17" s="0" t="str">
        <v>American Eagle</v>
      </c>
      <c r="D17" s="0" t="str">
        <v>45T</v>
      </c>
      <c r="E17" t="str">
        <f>CONCATENATE(C17&amp;" "&amp;D17)</f>
        <v>American Eagle 45T</v>
      </c>
      <c r="F17" s="2"/>
      <c r="G17" s="2" t="s">
        <v>16</v>
      </c>
      <c r="H17" s="2" t="str">
        <v>Автодом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0">
        <v>17</v>
      </c>
      <c r="B18" s="0" t="str">
        <v>в058мо193</v>
      </c>
      <c r="C18" s="0" t="str">
        <v>Volvo</v>
      </c>
      <c r="D18" s="0" t="str">
        <v>FH-TRUCK 4X2</v>
      </c>
      <c r="E18" t="str">
        <f>CONCATENATE(C18&amp;" "&amp;D18)</f>
        <v>Volvo FH-TRUCK 4X2</v>
      </c>
      <c r="F18" s="2"/>
      <c r="G18" s="2" t="s">
        <v>12</v>
      </c>
      <c r="H18" s="2" t="s">
        <v>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0">
        <v>18</v>
      </c>
      <c r="B19" s="0" t="str">
        <v>мр640123</v>
      </c>
      <c r="C19" s="0" t="str">
        <v>Pacton</v>
      </c>
      <c r="D19" s="0" t="str">
        <v>ET4</v>
      </c>
      <c r="E19" t="str">
        <f>CONCATENATE(C19&amp;" "&amp;D19)</f>
        <v>Pacton ET4</v>
      </c>
      <c r="F19" s="2"/>
      <c r="G19" s="2" t="s">
        <v>8</v>
      </c>
      <c r="H19" s="2" t="s">
        <v>15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.75">
      <c r="A20" s="0">
        <v>19</v>
      </c>
      <c r="B20" s="0" t="str">
        <v>м001ре93</v>
      </c>
      <c r="C20" s="0" t="s">
        <v>0</v>
      </c>
      <c r="D20" s="0" t="str">
        <v>GLE</v>
      </c>
      <c r="E20" t="str">
        <f>CONCATENATE(C20&amp;" "&amp;D20)</f>
        <v>Mercedes-Benz GLE</v>
      </c>
      <c r="F20" s="2"/>
      <c r="G20" s="2" t="s">
        <v>1</v>
      </c>
      <c r="H20" s="2" t="s">
        <v>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0">
        <v>20</v>
      </c>
      <c r="B21" s="0" t="str">
        <v>мр640023</v>
      </c>
      <c r="C21" s="0" t="str">
        <v>LeciTrailer</v>
      </c>
      <c r="D21" s="0" t="str">
        <v>LTCC-2ED</v>
      </c>
      <c r="E21" t="str">
        <f>CONCATENATE(C21&amp;" "&amp;D21)</f>
        <v>LeciTrailer LTCC-2ED</v>
      </c>
      <c r="F21" s="2"/>
      <c r="G21" s="2" t="s">
        <v>12</v>
      </c>
      <c r="H21" s="2" t="s">
        <v>15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0">
        <v>21</v>
      </c>
      <c r="B22" s="0" t="s">
        <v>17</v>
      </c>
      <c r="C22" s="0" t="str">
        <v>Honda</v>
      </c>
      <c r="D22" s="0" t="str">
        <v>Civic TCR</v>
      </c>
      <c r="E22" t="str">
        <f>CONCATENATE(C22&amp;" "&amp;D22)</f>
        <v>Honda Civic TCR</v>
      </c>
      <c r="F22" s="2"/>
      <c r="G22" s="2" t="s">
        <v>8</v>
      </c>
      <c r="H22" s="2" t="s">
        <v>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0">
        <v>22</v>
      </c>
      <c r="B23" s="0" t="s">
        <v>17</v>
      </c>
      <c r="C23" s="0" t="s">
        <v>0</v>
      </c>
      <c r="D23" s="0" t="s">
        <v>18</v>
      </c>
      <c r="E23" t="s">
        <f>CONCATENATE(C23&amp;" "&amp;D23)</f>
        <v>19</v>
      </c>
      <c r="F23" s="2"/>
      <c r="G23" s="2" t="s">
        <v>20</v>
      </c>
      <c r="H23" s="2" t="s">
        <v>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0">
        <v>23</v>
      </c>
      <c r="B24" s="0" t="s">
        <v>17</v>
      </c>
      <c r="C24" s="0" t="s">
        <v>0</v>
      </c>
      <c r="D24" s="0" t="s">
        <v>18</v>
      </c>
      <c r="E24" t="s">
        <f>CONCATENATE(C24&amp;" "&amp;D24)</f>
        <v>19</v>
      </c>
      <c r="F24" s="2"/>
      <c r="G24" s="2" t="s">
        <v>20</v>
      </c>
      <c r="H24" s="2" t="s">
        <v>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0">
        <v>24</v>
      </c>
      <c r="B25" s="0" t="s">
        <v>17</v>
      </c>
      <c r="C25" s="0" t="s">
        <v>21</v>
      </c>
      <c r="D25" s="0" t="str">
        <v>911 GT3 Cup</v>
      </c>
      <c r="E25" t="str">
        <f>CONCATENATE(C25&amp;" "&amp;D25)</f>
        <v>Porsche 911 GT3 Cup</v>
      </c>
      <c r="F25" s="2"/>
      <c r="G25" s="2" t="s">
        <v>20</v>
      </c>
      <c r="H25" s="2" t="s">
        <v>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0">
        <v>25</v>
      </c>
      <c r="B26" s="0" t="s">
        <v>17</v>
      </c>
      <c r="C26" s="0" t="s">
        <v>21</v>
      </c>
      <c r="D26" s="0" t="str">
        <v>997 GT3 Cup</v>
      </c>
      <c r="E26" t="str">
        <f>CONCATENATE(C26&amp;" "&amp;D26)</f>
        <v>Porsche 997 GT3 Cup</v>
      </c>
      <c r="F26" s="2"/>
      <c r="G26" s="2" t="s">
        <v>20</v>
      </c>
      <c r="H26" s="2" t="s">
        <v>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0">
        <v>26</v>
      </c>
      <c r="B27" s="0" t="str">
        <v>р366рс799</v>
      </c>
      <c r="C27" s="0" t="s">
        <v>0</v>
      </c>
      <c r="D27" s="0" t="str">
        <v>VITO TOURER</v>
      </c>
      <c r="E27" t="str">
        <f>CONCATENATE(C27&amp;" "&amp;D27)</f>
        <v>Mercedes-Benz VITO TOURER</v>
      </c>
      <c r="F27" s="2"/>
      <c r="G27" s="2" t="s">
        <v>1</v>
      </c>
      <c r="H27" s="2" t="s">
        <v>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0">
        <v>27</v>
      </c>
      <c r="B28" s="0" t="str">
        <v>с398вм193</v>
      </c>
      <c r="C28" s="0" t="s">
        <v>22</v>
      </c>
      <c r="D28" s="0" t="str">
        <v>Multivan</v>
      </c>
      <c r="E28" t="str">
        <f>CONCATENATE(C28&amp;" "&amp;D28)</f>
        <v>Volkswagen Multivan</v>
      </c>
      <c r="F28" s="2"/>
      <c r="G28" s="2" t="s">
        <v>1</v>
      </c>
      <c r="H28" s="2" t="s">
        <v>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0">
        <v>28</v>
      </c>
      <c r="B29" s="0" t="str">
        <v>м152кт193</v>
      </c>
      <c r="C29" s="0" t="s">
        <v>22</v>
      </c>
      <c r="D29" s="0" t="str">
        <v>Caravelle</v>
      </c>
      <c r="E29" t="str">
        <f>CONCATENATE(C29&amp;" "&amp;D29)</f>
        <v>Volkswagen Caravelle</v>
      </c>
      <c r="F29" s="2"/>
      <c r="G29" s="2" t="s">
        <v>1</v>
      </c>
      <c r="H29" s="2" t="s">
        <v>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0">
        <v>29</v>
      </c>
      <c r="B30" s="0" t="str">
        <v>о001оо59</v>
      </c>
      <c r="C30" s="0" t="str">
        <v>AURUS</v>
      </c>
      <c r="D30" s="0" t="str">
        <v>Senat</v>
      </c>
      <c r="E30" t="str">
        <f>CONCATENATE(C30&amp;" "&amp;D30)</f>
        <v>AURUS Senat</v>
      </c>
      <c r="F30" s="2"/>
      <c r="G30" s="2" t="s">
        <v>1</v>
      </c>
      <c r="H30" s="2" t="s">
        <v>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0">
        <v>30</v>
      </c>
      <c r="B31" s="0" t="str">
        <v>н023хв159</v>
      </c>
      <c r="C31" s="0" t="s">
        <v>4</v>
      </c>
      <c r="D31" s="0" t="s">
        <v>5</v>
      </c>
      <c r="E31" t="s">
        <f>CONCATENATE(C31&amp;" "&amp;D31)</f>
        <v>6</v>
      </c>
      <c r="F31" s="2"/>
      <c r="G31" s="2" t="s">
        <v>3</v>
      </c>
      <c r="H31" s="2" t="s">
        <v>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0">
        <v>31</v>
      </c>
      <c r="B32" s="0" t="str">
        <v>т009тт59</v>
      </c>
      <c r="C32" s="0" t="s">
        <v>0</v>
      </c>
      <c r="D32" s="0" t="s">
        <v>23</v>
      </c>
      <c r="E32" t="s">
        <f>CONCATENATE(C32&amp;" "&amp;D32)</f>
        <v>24</v>
      </c>
      <c r="F32" s="2"/>
      <c r="G32" s="2" t="s">
        <v>1</v>
      </c>
      <c r="H32" s="2" t="s">
        <v>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0">
        <v>32</v>
      </c>
      <c r="B33" s="0" t="str">
        <v>м001мм23</v>
      </c>
      <c r="C33" s="0" t="s">
        <v>0</v>
      </c>
      <c r="D33" s="0" t="s">
        <v>23</v>
      </c>
      <c r="E33" t="s">
        <f>CONCATENATE(C33&amp;" "&amp;D33)</f>
        <v>24</v>
      </c>
      <c r="F33" s="2"/>
      <c r="G33" s="2" t="s">
        <v>1</v>
      </c>
      <c r="H33" s="2" t="s">
        <v>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0">
        <v>33</v>
      </c>
      <c r="B34" s="0" t="str">
        <v>х884ва797</v>
      </c>
      <c r="C34" s="0" t="s">
        <v>21</v>
      </c>
      <c r="D34" s="0">
        <v>944</v>
      </c>
      <c r="E34" t="str">
        <f>CONCATENATE(C34&amp;" "&amp;D34)</f>
        <v>Porsche 944</v>
      </c>
      <c r="F34" s="2"/>
      <c r="G34" s="2" t="str">
        <v>Жёлтый</v>
      </c>
      <c r="H34" s="2" t="s">
        <v>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0">
        <v>34</v>
      </c>
      <c r="B35" s="0" t="str">
        <v>у362нр193</v>
      </c>
      <c r="C35" s="0" t="s">
        <v>0</v>
      </c>
      <c r="D35" s="0" t="str">
        <v>SL</v>
      </c>
      <c r="E35" t="str">
        <f>CONCATENATE(C35&amp;" "&amp;D35)</f>
        <v>Mercedes-Benz SL</v>
      </c>
      <c r="F35" s="2"/>
      <c r="G35" s="2" t="s">
        <v>8</v>
      </c>
      <c r="H35" s="2" t="s">
        <v>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0">
        <v>35</v>
      </c>
      <c r="B36" s="0" t="str">
        <v>в097рк123</v>
      </c>
      <c r="C36" s="0" t="s">
        <v>0</v>
      </c>
      <c r="D36" s="0" t="str">
        <v>E230</v>
      </c>
      <c r="E36" t="str">
        <f>CONCATENATE(C36&amp;" "&amp;D36)</f>
        <v>Mercedes-Benz E230</v>
      </c>
      <c r="F36" s="2"/>
      <c r="G36" s="2" t="str">
        <v>Бежевый</v>
      </c>
      <c r="H36" s="2" t="s">
        <v>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0">
        <v>36</v>
      </c>
      <c r="B37" s="0" t="str">
        <v>у654то193</v>
      </c>
      <c r="C37" s="0" t="str">
        <v>Lexus</v>
      </c>
      <c r="D37" s="0" t="str">
        <v>LX 570</v>
      </c>
      <c r="E37" t="str">
        <f>CONCATENATE(C37&amp;" "&amp;D37)</f>
        <v>Lexus LX 570</v>
      </c>
      <c r="F37" s="2"/>
      <c r="G37" s="2" t="s">
        <v>1</v>
      </c>
      <c r="H37" s="2" t="s">
        <v>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0">
        <v>37</v>
      </c>
      <c r="B38" s="0" t="str">
        <v>е010ее23</v>
      </c>
      <c r="C38" s="0" t="s">
        <v>0</v>
      </c>
      <c r="D38" s="0" t="str">
        <v>G500</v>
      </c>
      <c r="E38" t="str">
        <f>CONCATENATE(C38&amp;" "&amp;D38)</f>
        <v>Mercedes-Benz G500</v>
      </c>
      <c r="F38" s="2"/>
      <c r="G38" s="2" t="s">
        <v>8</v>
      </c>
      <c r="H38" s="2" t="s">
        <v>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0">
        <v>38</v>
      </c>
      <c r="B39" s="0" t="str">
        <v>а529те193</v>
      </c>
      <c r="C39" s="0" t="s">
        <v>0</v>
      </c>
      <c r="D39" s="0" t="s">
        <v>23</v>
      </c>
      <c r="E39" t="s">
        <f>CONCATENATE(C39&amp;" "&amp;D39)</f>
        <v>24</v>
      </c>
      <c r="F39" s="2"/>
      <c r="G39" s="2" t="s">
        <v>1</v>
      </c>
      <c r="H39" s="2" t="s">
        <v>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0">
        <v>39</v>
      </c>
      <c r="B40" s="0" t="str">
        <v>о354тр193</v>
      </c>
      <c r="C40" s="0" t="s">
        <v>9</v>
      </c>
      <c r="D40" s="0" t="s">
        <v>10</v>
      </c>
      <c r="E40" t="s">
        <f>CONCATENATE(C40&amp;" "&amp;D40)</f>
        <v>11</v>
      </c>
      <c r="F40" s="2"/>
      <c r="G40" s="2" t="s">
        <v>1</v>
      </c>
      <c r="H40" s="2" t="s">
        <v>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0">
        <v>40</v>
      </c>
      <c r="B41" s="0" t="str">
        <v>х085ос797</v>
      </c>
      <c r="C41" s="0" t="s">
        <v>0</v>
      </c>
      <c r="D41" s="0" t="str">
        <v>GL 350</v>
      </c>
      <c r="E41" t="str">
        <f>CONCATENATE(C41&amp;" "&amp;D41)</f>
        <v>Mercedes-Benz GL 350</v>
      </c>
      <c r="F41" s="2"/>
      <c r="G41" s="2" t="s">
        <v>1</v>
      </c>
      <c r="H41" s="2" t="s">
        <v>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0">
        <v>41</v>
      </c>
      <c r="B42" s="0" t="str">
        <v>р700ур799</v>
      </c>
      <c r="C42" s="0" t="s">
        <v>0</v>
      </c>
      <c r="D42" s="0" t="str">
        <v>V - класс</v>
      </c>
      <c r="E42" t="str">
        <f>CONCATENATE(C42&amp;" "&amp;D42)</f>
        <v>Mercedes-Benz V - класс</v>
      </c>
      <c r="F42" s="2"/>
      <c r="G42" s="2"/>
      <c r="H42" s="2" t="s">
        <v>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0">
        <v>42</v>
      </c>
      <c r="B43" s="0" t="str">
        <v>р602вт977</v>
      </c>
      <c r="C43" s="0" t="s">
        <v>0</v>
      </c>
      <c r="D43" s="0" t="str">
        <v>V250d</v>
      </c>
      <c r="E43" t="str">
        <f>CONCATENATE(C43&amp;" "&amp;D43)</f>
        <v>Mercedes-Benz V250d</v>
      </c>
      <c r="F43" s="2"/>
      <c r="G43" s="2" t="s">
        <v>1</v>
      </c>
      <c r="H43" s="2" t="s">
        <v>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0">
        <v>43</v>
      </c>
      <c r="B44" s="0" t="str">
        <v>м573тс193</v>
      </c>
      <c r="C44" s="0" t="s">
        <v>0</v>
      </c>
      <c r="D44" s="0" t="s">
        <v>13</v>
      </c>
      <c r="E44" t="s">
        <f>CONCATENATE(C44&amp;" "&amp;D44)</f>
        <v>14</v>
      </c>
      <c r="F44" s="2"/>
      <c r="G44" s="2" t="s">
        <v>8</v>
      </c>
      <c r="H44" s="2" t="s">
        <v>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0">
        <v>44</v>
      </c>
      <c r="B45" s="0" t="str">
        <v>мт841223</v>
      </c>
      <c r="C45" s="0" t="s">
        <v>15</v>
      </c>
      <c r="D45" s="0" t="str">
        <v>для катера 71494</v>
      </c>
      <c r="E45" t="str">
        <f>CONCATENATE(C45&amp;" "&amp;D45)</f>
        <v>Прицеп для катера 71494</v>
      </c>
      <c r="F45" s="2"/>
      <c r="G45" s="2" t="s">
        <v>3</v>
      </c>
      <c r="H45" s="2" t="s">
        <v>15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0">
        <v>45</v>
      </c>
      <c r="B46" s="0" t="str">
        <v>МА549150</v>
      </c>
      <c r="C46" s="0" t="str">
        <v>Sea Ray</v>
      </c>
      <c r="D46" s="0" t="str">
        <v>Sundancer 265</v>
      </c>
      <c r="E46" t="str">
        <f>CONCATENATE(C46&amp;" "&amp;D46)</f>
        <v>Sea Ray Sundancer 265</v>
      </c>
      <c r="F46" s="2"/>
      <c r="G46" s="2" t="s">
        <v>12</v>
      </c>
      <c r="H46" s="2" t="str">
        <v>Судно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0">
        <v>46</v>
      </c>
      <c r="B47" s="0" t="str">
        <v>уе792223</v>
      </c>
      <c r="C47" s="0" t="s">
        <v>25</v>
      </c>
      <c r="D47" s="0" t="str">
        <v>Traxter</v>
      </c>
      <c r="E47" t="str">
        <f>CONCATENATE(C47&amp;" "&amp;D47)</f>
        <v>Can-am Traxter</v>
      </c>
      <c r="F47" s="2"/>
      <c r="G47" s="2" t="s">
        <v>1</v>
      </c>
      <c r="H47" s="2" t="s">
        <v>26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0">
        <v>47</v>
      </c>
      <c r="B48" s="0" t="str">
        <v>ка173323</v>
      </c>
      <c r="C48" s="0" t="s">
        <v>27</v>
      </c>
      <c r="D48" s="0" t="s">
        <v>28</v>
      </c>
      <c r="E48" t="s">
        <f>CONCATENATE(C48&amp;" "&amp;D48)</f>
        <v>29</v>
      </c>
      <c r="F48" s="2"/>
      <c r="G48" s="2" t="s">
        <v>30</v>
      </c>
      <c r="H48" s="2" t="s">
        <v>26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0">
        <v>48</v>
      </c>
      <c r="B49" s="0" t="str">
        <v>ка173223</v>
      </c>
      <c r="C49" s="0" t="s">
        <v>27</v>
      </c>
      <c r="D49" s="0" t="s">
        <v>28</v>
      </c>
      <c r="E49" t="s">
        <f>CONCATENATE(C49&amp;" "&amp;D49)</f>
        <v>29</v>
      </c>
      <c r="F49" s="2"/>
      <c r="G49" s="2" t="s">
        <v>30</v>
      </c>
      <c r="H49" s="2" t="s">
        <v>26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0">
        <v>49</v>
      </c>
      <c r="B50" s="0" t="str">
        <v>ка173423</v>
      </c>
      <c r="C50" s="0" t="s">
        <v>27</v>
      </c>
      <c r="D50" s="0" t="s">
        <v>31</v>
      </c>
      <c r="E50" t="s">
        <f>CONCATENATE(C50&amp;" "&amp;D50)</f>
        <v>32</v>
      </c>
      <c r="F50" s="2"/>
      <c r="G50" s="2" t="s">
        <v>16</v>
      </c>
      <c r="H50" s="2" t="s">
        <v>26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0">
        <v>50</v>
      </c>
      <c r="B51" s="0" t="str">
        <v>ка173123</v>
      </c>
      <c r="C51" s="0" t="s">
        <v>27</v>
      </c>
      <c r="D51" s="0" t="s">
        <v>31</v>
      </c>
      <c r="E51" t="s">
        <f>CONCATENATE(C51&amp;" "&amp;D51)</f>
        <v>32</v>
      </c>
      <c r="F51" s="2"/>
      <c r="G51" s="2" t="s">
        <v>16</v>
      </c>
      <c r="H51" s="2" t="s">
        <v>26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0">
        <v>51</v>
      </c>
      <c r="B52" s="0" t="s">
        <v>17</v>
      </c>
      <c r="C52" s="0" t="str">
        <v>Русская механика</v>
      </c>
      <c r="D52" s="0" t="str">
        <v>РМ 650-2</v>
      </c>
      <c r="E52" t="str">
        <f>CONCATENATE(C52&amp;" "&amp;D52)</f>
        <v>Русская механика РМ 650-2</v>
      </c>
      <c r="F52" s="2"/>
      <c r="G52" s="2" t="s">
        <v>1</v>
      </c>
      <c r="H52" s="2" t="s">
        <v>26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0">
        <v>52</v>
      </c>
      <c r="B53" s="0" t="str">
        <v>вв111359</v>
      </c>
      <c r="C53" s="0" t="s">
        <v>15</v>
      </c>
      <c r="D53" s="0" t="s">
        <v>33</v>
      </c>
      <c r="E53" t="s">
        <f>CONCATENATE(C53&amp;" "&amp;D53)</f>
        <v>34</v>
      </c>
      <c r="F53" s="2"/>
      <c r="G53" s="2" t="s">
        <v>1</v>
      </c>
      <c r="H53" s="2" t="s">
        <v>15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0">
        <v>53</v>
      </c>
      <c r="B54" s="0" t="str">
        <v>р399ет193</v>
      </c>
      <c r="C54" s="0" t="str">
        <v>Камаз</v>
      </c>
      <c r="D54" s="0">
        <v>43118</v>
      </c>
      <c r="E54" t="str">
        <f>CONCATENATE(C54&amp;" "&amp;D54)</f>
        <v>Камаз 43118</v>
      </c>
      <c r="F54" s="2"/>
      <c r="G54" s="2" t="s">
        <v>8</v>
      </c>
      <c r="H54" s="2" t="s">
        <v>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0">
        <v>54</v>
      </c>
      <c r="B55" s="0" t="str">
        <v>х435ае977</v>
      </c>
      <c r="C55" s="0" t="s">
        <v>4</v>
      </c>
      <c r="D55" s="0" t="s">
        <v>5</v>
      </c>
      <c r="E55" t="s">
        <f>CONCATENATE(C55&amp;" "&amp;D55)</f>
        <v>6</v>
      </c>
      <c r="F55" s="2"/>
      <c r="G55" s="2" t="s">
        <v>1</v>
      </c>
      <c r="H55" s="2" t="s">
        <v>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0">
        <v>55</v>
      </c>
      <c r="B56" s="0" t="str">
        <v>х741хс193</v>
      </c>
      <c r="C56" s="0" t="s">
        <v>0</v>
      </c>
      <c r="D56" s="0" t="str">
        <v>ATEGO</v>
      </c>
      <c r="E56" t="str">
        <f>CONCATENATE(C56&amp;" "&amp;D56)</f>
        <v>Mercedes-Benz ATEGO</v>
      </c>
      <c r="F56" s="2"/>
      <c r="G56" s="2" t="s">
        <v>1</v>
      </c>
      <c r="H56" s="2" t="s">
        <v>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0">
        <v>56</v>
      </c>
      <c r="B57" s="0" t="str">
        <v>му340623</v>
      </c>
      <c r="C57" s="0" t="str">
        <v>Jinan Senyang</v>
      </c>
      <c r="D57" s="0" t="str">
        <v>HZF9400ZC</v>
      </c>
      <c r="E57" t="str">
        <f>CONCATENATE(C57&amp;" "&amp;D57)</f>
        <v>Jinan Senyang HZF9400ZC</v>
      </c>
      <c r="F57" s="2"/>
      <c r="G57" s="2" t="s">
        <v>8</v>
      </c>
      <c r="H57" s="2" t="s">
        <v>15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0">
        <v>57</v>
      </c>
      <c r="B58" s="0" t="str">
        <v>ка202523</v>
      </c>
      <c r="C58" s="0" t="s">
        <v>27</v>
      </c>
      <c r="D58" s="0" t="s">
        <v>35</v>
      </c>
      <c r="E58" t="s">
        <f>CONCATENATE(C58&amp;" "&amp;D58)</f>
        <v>36</v>
      </c>
      <c r="F58" s="2"/>
      <c r="G58" s="2" t="s">
        <v>30</v>
      </c>
      <c r="H58" s="2" t="s">
        <v>26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0">
        <v>58</v>
      </c>
      <c r="B59" s="0" t="s">
        <v>17</v>
      </c>
      <c r="C59" s="0" t="s">
        <v>27</v>
      </c>
      <c r="D59" s="0" t="s">
        <v>35</v>
      </c>
      <c r="E59" t="s">
        <f>CONCATENATE(C59&amp;" "&amp;D59)</f>
        <v>36</v>
      </c>
      <c r="F59" s="2"/>
      <c r="G59" s="2"/>
      <c r="H59" s="2" t="s">
        <v>26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0">
        <v>59</v>
      </c>
      <c r="B60" s="0" t="str">
        <v>1356хн23</v>
      </c>
      <c r="C60" s="0" t="s">
        <v>25</v>
      </c>
      <c r="D60" s="0" t="str">
        <v>Maverick X3</v>
      </c>
      <c r="E60" t="str">
        <f>CONCATENATE(C60&amp;" "&amp;D60)</f>
        <v>Can-am Maverick X3</v>
      </c>
      <c r="F60" s="2"/>
      <c r="G60" s="2" t="s">
        <v>1</v>
      </c>
      <c r="H60" s="2" t="s">
        <v>26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0">
        <v>60</v>
      </c>
      <c r="B61" s="0" t="str">
        <v>2467мк23</v>
      </c>
      <c r="C61" s="0" t="str">
        <v>Rydwan</v>
      </c>
      <c r="D61" s="0" t="str">
        <v>Euro B3000</v>
      </c>
      <c r="E61" t="str">
        <f>CONCATENATE(C61&amp;" "&amp;D61)</f>
        <v>Rydwan Euro B3000</v>
      </c>
      <c r="F61" s="2"/>
      <c r="G61" s="2" t="s">
        <v>3</v>
      </c>
      <c r="H61" s="2" t="s">
        <v>15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0">
        <v>61</v>
      </c>
      <c r="B62" s="0" t="str">
        <v>а222аа93</v>
      </c>
      <c r="C62" s="0" t="s">
        <v>0</v>
      </c>
      <c r="D62" s="0" t="str">
        <v>V300d</v>
      </c>
      <c r="E62" t="str">
        <f>CONCATENATE(C62&amp;" "&amp;D62)</f>
        <v>Mercedes-Benz V300d</v>
      </c>
      <c r="F62" s="2"/>
      <c r="G62" s="2" t="s">
        <v>1</v>
      </c>
      <c r="H62" s="2" t="s">
        <v>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0">
        <v>62</v>
      </c>
      <c r="B63" s="0" t="s">
        <v>37</v>
      </c>
      <c r="C63" s="0" t="s">
        <v>0</v>
      </c>
      <c r="D63" s="0" t="s">
        <v>13</v>
      </c>
      <c r="E63" t="s">
        <f>CONCATENATE(C63&amp;" "&amp;D63)</f>
        <v>14</v>
      </c>
      <c r="F63" s="2"/>
      <c r="G63" s="2" t="s">
        <v>3</v>
      </c>
      <c r="H63" s="2" t="s">
        <v>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0">
        <v>63</v>
      </c>
      <c r="B64" s="0" t="str">
        <v>с359уу193</v>
      </c>
      <c r="C64" s="0" t="s">
        <v>0</v>
      </c>
      <c r="D64" s="0" t="str">
        <v>Arocs</v>
      </c>
      <c r="E64" t="str">
        <f>CONCATENATE(C64&amp;" "&amp;D64)</f>
        <v>Mercedes-Benz Arocs</v>
      </c>
      <c r="F64" s="2"/>
      <c r="G64" s="2" t="s">
        <v>3</v>
      </c>
      <c r="H64" s="2" t="s">
        <v>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0">
        <v>64</v>
      </c>
      <c r="B65" s="0" t="str">
        <v>с597ер323</v>
      </c>
      <c r="C65" s="0" t="s">
        <v>0</v>
      </c>
      <c r="D65" s="0" t="str">
        <v>280GE</v>
      </c>
      <c r="E65" t="str">
        <f>CONCATENATE(C65&amp;" "&amp;D65)</f>
        <v>Mercedes-Benz 280GE</v>
      </c>
      <c r="F65" s="2"/>
      <c r="G65" s="2" t="str">
        <v>Зелёный</v>
      </c>
      <c r="H65" s="2" t="s">
        <v>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0">
        <v>65</v>
      </c>
      <c r="B66" s="0" t="str">
        <v>н769хт797</v>
      </c>
      <c r="C66" s="0" t="s">
        <v>0</v>
      </c>
      <c r="D66" s="0" t="str">
        <v>Unimog U16</v>
      </c>
      <c r="E66" t="str">
        <f>CONCATENATE(C66&amp;" "&amp;D66)</f>
        <v>Mercedes-Benz Unimog U16</v>
      </c>
      <c r="F66" s="2"/>
      <c r="G66" s="2" t="s">
        <v>30</v>
      </c>
      <c r="H66" s="2" t="s">
        <v>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0">
        <v>66</v>
      </c>
      <c r="B67" s="0" t="str">
        <v>вв275059</v>
      </c>
      <c r="C67" s="0" t="s">
        <v>15</v>
      </c>
      <c r="D67" s="0" t="s">
        <v>33</v>
      </c>
      <c r="E67" t="s">
        <f>CONCATENATE(C67&amp;" "&amp;D67)</f>
        <v>34</v>
      </c>
      <c r="F67" s="2"/>
      <c r="G67" s="2" t="s">
        <v>1</v>
      </c>
      <c r="H67" s="2" t="s">
        <v>15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0"/>
      <c r="B68" s="0"/>
      <c r="C68" s="0"/>
      <c r="D68" s="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48558" spans="1:26">
      <c r="A1048558" s="0"/>
      <c r="B1048558" s="0"/>
      <c r="C1048558" s="0"/>
      <c r="D1048558" s="0"/>
    </row>
    <row r="1048559" spans="1:26">
      <c r="A1048559" s="0"/>
      <c r="B1048559" s="0"/>
      <c r="C1048559" s="0"/>
      <c r="D1048559" s="0"/>
    </row>
    <row r="1048560" spans="1:26">
      <c r="A1048560" s="0"/>
      <c r="B1048560" s="0"/>
      <c r="C1048560" s="0"/>
      <c r="D1048560" s="0"/>
    </row>
    <row r="1048561" spans="1:26">
      <c r="A1048561" s="0"/>
      <c r="B1048561" s="0"/>
      <c r="C1048561" s="0"/>
      <c r="D1048561" s="0"/>
    </row>
    <row r="1048562" spans="1:26">
      <c r="A1048562" s="0"/>
      <c r="B1048562" s="0"/>
      <c r="C1048562" s="0"/>
      <c r="D1048562" s="0"/>
    </row>
    <row r="1048563" spans="1:26">
      <c r="A1048563" s="0"/>
      <c r="B1048563" s="0"/>
      <c r="C1048563" s="0"/>
      <c r="D1048563" s="0"/>
    </row>
    <row r="1048564" spans="1:26">
      <c r="A1048564" s="0"/>
      <c r="B1048564" s="0"/>
      <c r="C1048564" s="0"/>
      <c r="D1048564" s="0"/>
    </row>
    <row r="1048565" spans="1:26">
      <c r="A1048565" s="0"/>
      <c r="B1048565" s="0"/>
      <c r="C1048565" s="0"/>
      <c r="D1048565" s="0"/>
    </row>
    <row r="1048566" spans="1:26">
      <c r="A1048566" s="0"/>
      <c r="B1048566" s="0"/>
      <c r="C1048566" s="0"/>
      <c r="D1048566" s="0"/>
    </row>
    <row r="1048567" spans="1:26">
      <c r="A1048567" s="0"/>
      <c r="B1048567" s="0"/>
      <c r="C1048567" s="0"/>
      <c r="D1048567" s="0"/>
    </row>
    <row r="1048568" spans="1:26">
      <c r="A1048568" s="0"/>
      <c r="B1048568" s="0"/>
      <c r="C1048568" s="0"/>
      <c r="D1048568" s="0"/>
    </row>
    <row r="1048569" spans="1:26">
      <c r="A1048569" s="0"/>
      <c r="B1048569" s="0"/>
      <c r="C1048569" s="0"/>
      <c r="D1048569" s="0"/>
    </row>
    <row r="1048570" spans="1:26">
      <c r="A1048570" s="0"/>
      <c r="B1048570" s="0"/>
      <c r="C1048570" s="0"/>
      <c r="D1048570" s="0"/>
    </row>
    <row r="1048571" spans="1:26">
      <c r="A1048571" s="0"/>
      <c r="B1048571" s="0"/>
      <c r="C1048571" s="0"/>
      <c r="D1048571" s="0"/>
    </row>
    <row r="1048572" spans="1:26">
      <c r="A1048572" s="0"/>
      <c r="B1048572" s="0"/>
      <c r="C1048572" s="0"/>
      <c r="D1048572" s="0"/>
    </row>
    <row r="1048573" spans="1:26">
      <c r="A1048573" s="0"/>
      <c r="B1048573" s="0"/>
      <c r="C1048573" s="0"/>
      <c r="D1048573" s="0"/>
    </row>
    <row r="1048574" spans="1:26">
      <c r="A1048574" s="0"/>
      <c r="B1048574" s="0"/>
      <c r="C1048574" s="0"/>
      <c r="D1048574" s="0"/>
    </row>
    <row r="1048575" spans="1:26">
      <c r="A1048575" s="0"/>
      <c r="B1048575" s="0"/>
      <c r="C1048575" s="0"/>
      <c r="D1048575" s="0"/>
    </row>
    <row r="1048576" spans="1:26">
      <c r="A1048576" s="0"/>
      <c r="B1048576" s="0"/>
      <c r="C1048576" s="0"/>
      <c r="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 blackAndWhite="0" cellComments="asDisplayed" draft="0" errors="displayed" orientation="portrait" pageOrder="downThenOver" paperSize="9" scale="100" useFirstPageNumber="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1.1217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2026-04-08T11:33:32Z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